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\Downloads\sqlite project\"/>
    </mc:Choice>
  </mc:AlternateContent>
  <xr:revisionPtr revIDLastSave="0" documentId="13_ncr:1_{BFF05A4E-127B-4921-9E27-97738971487C}" xr6:coauthVersionLast="47" xr6:coauthVersionMax="47" xr10:uidLastSave="{00000000-0000-0000-0000-000000000000}"/>
  <bookViews>
    <workbookView xWindow="-108" yWindow="-108" windowWidth="23256" windowHeight="12456" xr2:uid="{BCF31351-3496-4FAD-98E2-653133E79EEE}"/>
  </bookViews>
  <sheets>
    <sheet name="DASHBOARD" sheetId="11" r:id="rId1"/>
    <sheet name="INSIGHTS &amp; RECCOMENDATION" sheetId="13" r:id="rId2"/>
    <sheet name="SalesbyCategory" sheetId="2" r:id="rId3"/>
    <sheet name="Regional sales" sheetId="3" r:id="rId4"/>
    <sheet name="high discount states" sheetId="12" r:id="rId5"/>
    <sheet name="segment-wise sales" sheetId="4" r:id="rId6"/>
    <sheet name="category-wise sales&amp;profit" sheetId="5" r:id="rId7"/>
    <sheet name="shipping mode" sheetId="6" r:id="rId8"/>
    <sheet name="Page 1 (7)" sheetId="8" r:id="rId9"/>
    <sheet name="Page 1 (8)" sheetId="9" r:id="rId10"/>
    <sheet name="Value customers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<sst xmlns="http://schemas.openxmlformats.org/spreadsheetml/2006/main" count="178" uniqueCount="108">
  <si>
    <t>Office Supplies</t>
  </si>
  <si>
    <t>Furniture</t>
  </si>
  <si>
    <t>Technology</t>
  </si>
  <si>
    <t>Total_sales</t>
  </si>
  <si>
    <t>category</t>
  </si>
  <si>
    <t>South</t>
  </si>
  <si>
    <t>Central</t>
  </si>
  <si>
    <t>East</t>
  </si>
  <si>
    <t>West</t>
  </si>
  <si>
    <t>total_profit</t>
  </si>
  <si>
    <t>total_sales</t>
  </si>
  <si>
    <t>region</t>
  </si>
  <si>
    <t>Home Office</t>
  </si>
  <si>
    <t>Corporate</t>
  </si>
  <si>
    <t>Consumer</t>
  </si>
  <si>
    <t>TOTAL_PROFIT</t>
  </si>
  <si>
    <t>TOTAL_SALES</t>
  </si>
  <si>
    <t>TOTAL_ORDERS</t>
  </si>
  <si>
    <t>segment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</si>
  <si>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</si>
  <si>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</si>
  <si>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</si>
  <si>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</si>
  <si>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</si>
  <si>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</si>
  <si>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</si>
  <si>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</si>
  <si>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</si>
  <si>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</si>
  <si>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</si>
  <si>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</si>
  <si>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</si>
  <si>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</si>
  <si>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</si>
  <si>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</si>
  <si>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</si>
  <si>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sub_category</t>
  </si>
  <si>
    <t>Same Day</t>
  </si>
  <si>
    <t>First Class</t>
  </si>
  <si>
    <t>Second Class</t>
  </si>
  <si>
    <t>Standard Class</t>
  </si>
  <si>
    <t>total_orders</t>
  </si>
  <si>
    <t>ship_mode</t>
  </si>
  <si>
    <t>Returned</t>
  </si>
  <si>
    <t>Maria Etezadi</t>
  </si>
  <si>
    <t>US-2023-167199</t>
  </si>
  <si>
    <t>Jack O'Briant</t>
  </si>
  <si>
    <t>US-2023-106054</t>
  </si>
  <si>
    <t>Mick Brown</t>
  </si>
  <si>
    <t>US-2023-141817</t>
  </si>
  <si>
    <t>Phillina Ober</t>
  </si>
  <si>
    <t>US-2023-112326</t>
  </si>
  <si>
    <t>Darren Powers</t>
  </si>
  <si>
    <t>US-2023-103800</t>
  </si>
  <si>
    <t>Return_Status</t>
  </si>
  <si>
    <t>Profit</t>
  </si>
  <si>
    <t>Sales</t>
  </si>
  <si>
    <t>customer_name</t>
  </si>
  <si>
    <t>order_id</t>
  </si>
  <si>
    <t>Christopher Conant</t>
  </si>
  <si>
    <t>Sanjit Engle</t>
  </si>
  <si>
    <t>Hunter Lopez</t>
  </si>
  <si>
    <t>Sanjit Chand</t>
  </si>
  <si>
    <t>Ken Lonsdale</t>
  </si>
  <si>
    <t>Adrian Barton</t>
  </si>
  <si>
    <t>Tom Ashbrook</t>
  </si>
  <si>
    <t>Raymond Buch</t>
  </si>
  <si>
    <t>Tamara Chand</t>
  </si>
  <si>
    <t>Sean Miller</t>
  </si>
  <si>
    <t>Total_orders</t>
  </si>
  <si>
    <t>Sales by Category</t>
  </si>
  <si>
    <t>Arizona</t>
  </si>
  <si>
    <t>Florida</t>
  </si>
  <si>
    <t>Colorado</t>
  </si>
  <si>
    <t>Ohio</t>
  </si>
  <si>
    <t>Pennsylvania</t>
  </si>
  <si>
    <t>Manitoba</t>
  </si>
  <si>
    <t>Texas</t>
  </si>
  <si>
    <t>Illinois</t>
  </si>
  <si>
    <t>New Brunswick</t>
  </si>
  <si>
    <t>Nova Scotia</t>
  </si>
  <si>
    <t>AVG_DISCOUNT</t>
  </si>
  <si>
    <t>state_province</t>
  </si>
  <si>
    <t>Retail Sales &amp; Marketing Performance Analysis</t>
  </si>
  <si>
    <t>Total Sales</t>
  </si>
  <si>
    <t>$23.26 lakh</t>
  </si>
  <si>
    <t>Total Profit</t>
  </si>
  <si>
    <t>$2.92 lakh</t>
  </si>
  <si>
    <t>Tables (-$17,753)</t>
  </si>
  <si>
    <t>Texas (-$25,729)</t>
  </si>
  <si>
    <t>Biggest loss product</t>
  </si>
  <si>
    <t>Worst discount state</t>
  </si>
  <si>
    <t>Bookcases and Supplies also show negative profit despite positive sales</t>
  </si>
  <si>
    <t xml:space="preserve"> Technology leads all categories with $84 lakh in sales</t>
  </si>
  <si>
    <t xml:space="preserve"> West region performs best — highest sales ($74L) and profit ($11L)</t>
  </si>
  <si>
    <t xml:space="preserve"> Consumer segment dominates with 2,628 orders — nearly double Corporate</t>
  </si>
  <si>
    <t xml:space="preserve"> Tables sub-category is the biggest loss-maker — selling $2L but losing $17,753</t>
  </si>
  <si>
    <t xml:space="preserve"> Texas (37% avg discount) and Illinois (39%) show heaviest losses from discounting</t>
  </si>
  <si>
    <t xml:space="preserve"> Sean Miller is the #1 customer by sales ($25,043) but actually loss-making (-$1,980)</t>
  </si>
  <si>
    <t xml:space="preserve"> Tamara Chand is the most valuable customer — high sales AND high profit</t>
  </si>
  <si>
    <t xml:space="preserve"> Standard Class shipping is used in 6,120 orders — nearly 3x more than Second Class</t>
  </si>
  <si>
    <t xml:space="preserve"> Home Office segment has highest average order value ($472) despite fewest orders</t>
  </si>
  <si>
    <t xml:space="preserve"> Review pricing and discount policy for Tables, Bookcases and Supplies urgentlyB182</t>
  </si>
  <si>
    <t xml:space="preserve"> Cap maximum discount percentage in Texas, Illinois and Ohio to control lossesB193</t>
  </si>
  <si>
    <t xml:space="preserve"> Investigate Sean Miller's order pattern — high discount usage likely causing lossesB204</t>
  </si>
  <si>
    <t xml:space="preserve"> Launch loyalty rewards for high-value customers like Tamara Chand and Raymond Buch</t>
  </si>
  <si>
    <t>KEY FINDINGS</t>
  </si>
  <si>
    <t>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</si>
</sst>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4"/>
      <color theme="5"/>
      <name val="Aptos Narrow"/>
      <family val="2"/>
      <scheme val="minor"/>
    </font>
    <font>
      <sz val="14"/>
      <color rgb="FFFFC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i/>
      <sz val="16"/>
      <color theme="3" tint="0.249977111117893"/>
      <name val="Bauhaus 93"/>
      <family val="5"/>
    </font>
    <font>
      <sz val="14"/>
      <color theme="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3" fillId="3" borderId="1" xfId="0" applyFont="1" applyFill="1" applyBorder="1"/>
    <xf numFmtId="0" fontId="5" fillId="2" borderId="0" xfId="0" applyFont="1" applyFill="1"/>
    <xf numFmtId="0" fontId="0" fillId="4" borderId="0" xfId="0" applyFill="1"/>
    <xf numFmtId="0" fontId="0" fillId="0" borderId="0" xfId="0" applyAlignment="1"/>
    <xf numFmtId="0" fontId="0" fillId="5" borderId="0" xfId="0" applyFill="1" applyAlignment="1"/>
    <xf numFmtId="0" fontId="8" fillId="5" borderId="0" xfId="0" applyFont="1" applyFill="1"/>
    <xf numFmtId="0" fontId="0" fillId="5" borderId="0" xfId="0" applyFill="1"/>
    <xf numFmtId="0" fontId="9" fillId="5" borderId="0" xfId="0" applyFont="1" applyFill="1"/>
    <xf numFmtId="0" fontId="9" fillId="5" borderId="0" xfId="0" applyFont="1" applyFill="1" applyAlignment="1"/>
    <xf numFmtId="0" fontId="10" fillId="5" borderId="0" xfId="0" applyFont="1" applyFill="1" applyAlignment="1"/>
    <xf numFmtId="0" fontId="8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62433505972183"/>
          <c:y val="0.27131887128566762"/>
          <c:w val="0.79131317809872692"/>
          <c:h val="0.44686515089228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SalesbyCategory!$B$1:$B$2</c:f>
              <c:strCache>
                <c:ptCount val="2"/>
                <c:pt idx="0">
                  <c:v>Sales by Category</c:v>
                </c:pt>
                <c:pt idx="1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SalesbyCategory!$A$3:$A$5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SalesbyCategory!$B$3:$B$5</c:f>
              <c:numCache>
                <c:formatCode>General</c:formatCode>
                <c:ptCount val="3"/>
                <c:pt idx="0">
                  <c:v>839893.27899999998</c:v>
                </c:pt>
                <c:pt idx="1">
                  <c:v>754747.76130000001</c:v>
                </c:pt>
                <c:pt idx="2">
                  <c:v>731893.31400000001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F-4EDA-9F1B-3EC13595F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35051200"/>
        <c:axId val="235044000"/>
      </c:barChart>
      <c:catAx>
        <c:axId val="235051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44000"/>
        <c:crosses val="autoZero"/>
        <c:auto val="1"/>
        <c:lblAlgn val="ctr"/>
        <c:lblOffset val="100"/>
        <c:noMultiLvlLbl val="0"/>
      </c:catAx>
      <c:valAx>
        <c:axId val="23504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>
      <a:solidFill>
        <a:schemeClr val="tx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Loss Making Subcategories</a:t>
            </a:r>
          </a:p>
          <a:p>
            <a:pPr>
              <a:defRPr/>
            </a:pPr>
            <a:r>
              <a:rPr lang="en-US"/>
              <a:t>negative profit alert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'category-wise sales&amp;profit'!$B$1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'category-wise sales&amp;profit'!$A$2:$A$4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'category-wise sales&amp;profit'!$B$2:$B$4</c:f>
              <c:numCache>
                <c:formatCode>General</c:formatCode>
                <c:ptCount val="3"/>
                <c:pt idx="0">
                  <c:v>208020</c:v>
                </c:pt>
                <c:pt idx="1">
                  <c:v>115361</c:v>
                </c:pt>
                <c:pt idx="2">
                  <c:v>46725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A-44EE-91F0-951B618635C8}"/>
            </c:ext>
          </c:extLst>
        </c:ser>
        <c:ser>
          <c:idx val="1"/>
          <c:order val="1"/>
          <c:tx>
            <c:strRef>
              <c:f>'category-wise sales&amp;profit'!$C$1</c:f>
              <c:strCache>
                <c:ptCount val="1"/>
                <c:pt idx="0">
                  <c:v>TOTAL_PROFIT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'category-wise sales&amp;profit'!$A$2:$A$4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'category-wise sales&amp;profit'!$C$2:$C$4</c:f>
              <c:numCache>
                <c:formatCode>General</c:formatCode>
                <c:ptCount val="3"/>
                <c:pt idx="0">
                  <c:v>-17753</c:v>
                </c:pt>
                <c:pt idx="1">
                  <c:v>-3632</c:v>
                </c:pt>
                <c:pt idx="2">
                  <c:v>-1171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A-44EE-91F0-951B61863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35057920"/>
        <c:axId val="235058400"/>
      </c:barChart>
      <c:catAx>
        <c:axId val="235057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58400"/>
        <c:crosses val="autoZero"/>
        <c:auto val="1"/>
        <c:lblAlgn val="ctr"/>
        <c:lblOffset val="100"/>
        <c:noMultiLvlLbl val="0"/>
      </c:catAx>
      <c:valAx>
        <c:axId val="23505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0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Impact in High-Discount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16371047041427E-2"/>
          <c:y val="0.16909303923760322"/>
          <c:w val="0.92476944595408717"/>
          <c:h val="0.601754473119882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'high discount states'!$B$1</c:f>
              <c:strCache>
                <c:ptCount val="1"/>
                <c:pt idx="0">
                  <c:v>AVG_DISCOUNT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 discount states'!$A$2:$A$11</c:f>
              <c:strCache>
                <c:ptCount val="10"/>
                <c:pt idx="0">
                  <c:v>Nova Scotia</c:v>
                </c:pt>
                <c:pt idx="1">
                  <c:v>New Brunswick</c:v>
                </c:pt>
                <c:pt idx="2">
                  <c:v>Illinois</c:v>
                </c:pt>
                <c:pt idx="3">
                  <c:v>Texas</c:v>
                </c:pt>
                <c:pt idx="4">
                  <c:v>Manitoba</c:v>
                </c:pt>
                <c:pt idx="5">
                  <c:v>Pennsylvania</c:v>
                </c:pt>
                <c:pt idx="6">
                  <c:v>Ohio</c:v>
                </c:pt>
                <c:pt idx="7">
                  <c:v>Colorado</c:v>
                </c:pt>
                <c:pt idx="8">
                  <c:v>Florida</c:v>
                </c:pt>
                <c:pt idx="9">
                  <c:v>Arizona</c:v>
                </c:pt>
              </c:strCache>
            </c:strRef>
          </c:cat>
          <c:val>
            <c:numRef>
              <c:f>'high discount states'!$B$2:$B$11</c:f>
              <c:numCache>
                <c:formatCode>General</c:formatCode>
                <c:ptCount val="10"/>
                <c:pt idx="0">
                  <c:v>0.47</c:v>
                </c:pt>
                <c:pt idx="1">
                  <c:v>0.4</c:v>
                </c:pt>
                <c:pt idx="2">
                  <c:v>0.39</c:v>
                </c:pt>
                <c:pt idx="3">
                  <c:v>0.37</c:v>
                </c:pt>
                <c:pt idx="4">
                  <c:v>0.37</c:v>
                </c:pt>
                <c:pt idx="5">
                  <c:v>0.33</c:v>
                </c:pt>
                <c:pt idx="6">
                  <c:v>0.32</c:v>
                </c:pt>
                <c:pt idx="7">
                  <c:v>0.32</c:v>
                </c:pt>
                <c:pt idx="8">
                  <c:v>0.3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C-442D-BB98-A9E0F83A5C46}"/>
            </c:ext>
          </c:extLst>
        </c:ser>
        <c:ser>
          <c:idx val="1"/>
          <c:order val="1"/>
          <c:tx>
            <c:strRef>
              <c:f>'high discount states'!$C$1</c:f>
              <c:strCache>
                <c:ptCount val="1"/>
                <c:pt idx="0">
                  <c:v>TOTAL_PROFIT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 discount states'!$A$2:$A$11</c:f>
              <c:strCache>
                <c:ptCount val="10"/>
                <c:pt idx="0">
                  <c:v>Nova Scotia</c:v>
                </c:pt>
                <c:pt idx="1">
                  <c:v>New Brunswick</c:v>
                </c:pt>
                <c:pt idx="2">
                  <c:v>Illinois</c:v>
                </c:pt>
                <c:pt idx="3">
                  <c:v>Texas</c:v>
                </c:pt>
                <c:pt idx="4">
                  <c:v>Manitoba</c:v>
                </c:pt>
                <c:pt idx="5">
                  <c:v>Pennsylvania</c:v>
                </c:pt>
                <c:pt idx="6">
                  <c:v>Ohio</c:v>
                </c:pt>
                <c:pt idx="7">
                  <c:v>Colorado</c:v>
                </c:pt>
                <c:pt idx="8">
                  <c:v>Florida</c:v>
                </c:pt>
                <c:pt idx="9">
                  <c:v>Arizona</c:v>
                </c:pt>
              </c:strCache>
            </c:strRef>
          </c:cat>
          <c:val>
            <c:numRef>
              <c:f>'high discount states'!$C$2:$C$11</c:f>
              <c:numCache>
                <c:formatCode>General</c:formatCode>
                <c:ptCount val="10"/>
                <c:pt idx="0">
                  <c:v>-52.74</c:v>
                </c:pt>
                <c:pt idx="1">
                  <c:v>-74.14</c:v>
                </c:pt>
                <c:pt idx="2">
                  <c:v>-12607.89</c:v>
                </c:pt>
                <c:pt idx="3">
                  <c:v>-25729.360000000001</c:v>
                </c:pt>
                <c:pt idx="4">
                  <c:v>158.94</c:v>
                </c:pt>
                <c:pt idx="5">
                  <c:v>-15559.96</c:v>
                </c:pt>
                <c:pt idx="6">
                  <c:v>-16971.38</c:v>
                </c:pt>
                <c:pt idx="7">
                  <c:v>-6527.86</c:v>
                </c:pt>
                <c:pt idx="8">
                  <c:v>-3399.3</c:v>
                </c:pt>
                <c:pt idx="9">
                  <c:v>-3427.92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C-442D-BB98-A9E0F83A5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13759968"/>
        <c:axId val="313760928"/>
      </c:barChart>
      <c:catAx>
        <c:axId val="313759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60928"/>
        <c:crosses val="autoZero"/>
        <c:auto val="1"/>
        <c:lblAlgn val="ctr"/>
        <c:lblOffset val="100"/>
        <c:noMultiLvlLbl val="0"/>
      </c:catAx>
      <c:valAx>
        <c:axId val="31376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>
      <a:solidFill>
        <a:schemeClr val="bg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7620</xdr:rowOff>
    </xdr:from>
    <xdr:to>
      <xdr:col>11</xdr:col>
      <xdr:colOff>327660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4EF99A-ED45-3AC6-C733-4F406B7E5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3</xdr:row>
      <xdr:rowOff>7620</xdr:rowOff>
    </xdr:from>
    <xdr:to>
      <xdr:col>23</xdr:col>
      <xdr:colOff>83820</xdr:colOff>
      <xdr:row>14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F3EA5-071E-7C26-1188-04D944623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99060</xdr:rowOff>
    </xdr:from>
    <xdr:to>
      <xdr:col>23</xdr:col>
      <xdr:colOff>68580</xdr:colOff>
      <xdr:row>27</xdr:row>
      <xdr:rowOff>99060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97194BA-C2BF-F12B-66E2-C625F0673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6C02-EF6F-4B44-93ED-CAA2D8E74052}">
  <dimension ref="A1:W4"/>
  <sheetViews>
    <sheetView tabSelected="1" workbookViewId="0">
      <selection activeCell="T1" sqref="T1:W1"/>
    </sheetView>
  </sheetViews>
  <sheetFormatPr defaultRowHeight="14.4" x14ac:dyDescent="0.3"/>
  <cols>
    <col min="7" max="7" width="16.44140625" customWidth="1"/>
    <col min="8" max="8" width="0.77734375" customWidth="1"/>
    <col min="10" max="10" width="9.6640625" customWidth="1"/>
    <col min="23" max="23" width="10.88671875" customWidth="1"/>
  </cols>
  <sheetData>
    <row r="1" spans="1:23" x14ac:dyDescent="0.3">
      <c r="A1" s="3"/>
      <c r="B1" s="3"/>
      <c r="C1" s="3"/>
      <c r="D1" s="3"/>
      <c r="E1" s="3"/>
      <c r="F1" s="3"/>
      <c r="G1" s="3"/>
      <c r="H1" s="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2"/>
      <c r="U1" s="12"/>
      <c r="V1" s="12"/>
      <c r="W1" s="12"/>
    </row>
    <row r="2" spans="1:23" ht="21" x14ac:dyDescent="0.4">
      <c r="A2" s="3"/>
      <c r="B2" s="8" t="s">
        <v>83</v>
      </c>
      <c r="C2" s="8"/>
      <c r="D2" s="8"/>
      <c r="E2" s="8"/>
      <c r="F2" s="8"/>
      <c r="G2" s="8"/>
      <c r="H2" s="10"/>
      <c r="I2" s="3"/>
      <c r="J2" s="3"/>
      <c r="K2" s="3"/>
      <c r="L2" s="11" t="s">
        <v>84</v>
      </c>
      <c r="M2" s="11"/>
      <c r="N2" s="5" t="s">
        <v>86</v>
      </c>
      <c r="O2" s="5"/>
      <c r="P2" s="6" t="s">
        <v>90</v>
      </c>
      <c r="Q2" s="3"/>
      <c r="R2" s="6"/>
      <c r="S2" s="6" t="s">
        <v>91</v>
      </c>
      <c r="T2" s="3"/>
      <c r="U2" s="6"/>
      <c r="V2" s="7"/>
      <c r="W2" s="3"/>
    </row>
    <row r="3" spans="1:23" ht="18" x14ac:dyDescent="0.35">
      <c r="A3" s="3"/>
      <c r="B3" s="3"/>
      <c r="C3" s="3"/>
      <c r="D3" s="3"/>
      <c r="E3" s="3"/>
      <c r="F3" s="3"/>
      <c r="G3" s="3"/>
      <c r="H3" s="9"/>
      <c r="I3" s="3"/>
      <c r="J3" s="3"/>
      <c r="K3" s="3"/>
      <c r="L3" s="11" t="s">
        <v>85</v>
      </c>
      <c r="M3" s="11"/>
      <c r="N3" s="5" t="s">
        <v>87</v>
      </c>
      <c r="O3" s="5"/>
      <c r="P3" s="6" t="s">
        <v>88</v>
      </c>
      <c r="Q3" s="3"/>
      <c r="R3" s="6"/>
      <c r="S3" s="6" t="s">
        <v>89</v>
      </c>
      <c r="T3" s="3"/>
      <c r="U3" s="6"/>
      <c r="V3" s="7"/>
      <c r="W3" s="3"/>
    </row>
    <row r="4" spans="1:23" ht="18" x14ac:dyDescent="0.35">
      <c r="A4" s="3"/>
      <c r="B4" s="3"/>
      <c r="C4" s="3"/>
      <c r="D4" s="3"/>
      <c r="E4" s="3"/>
      <c r="F4" s="3"/>
      <c r="G4" s="3"/>
      <c r="H4" s="3"/>
      <c r="I4" s="4"/>
      <c r="J4" s="4"/>
      <c r="K4" s="4"/>
      <c r="L4" s="5"/>
      <c r="M4" s="5"/>
      <c r="N4" s="5"/>
      <c r="O4" s="5"/>
      <c r="P4" s="5"/>
      <c r="Q4" s="5"/>
      <c r="R4" s="5"/>
      <c r="S4" s="4"/>
    </row>
  </sheetData>
  <mergeCells count="2">
    <mergeCell ref="L2:M2"/>
    <mergeCell ref="L3:M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8D55-FC8D-4D61-A707-1C84A5FECAAA}">
  <dimension ref="A1:S23"/>
  <sheetViews>
    <sheetView workbookViewId="0">
      <selection activeCell="N4" sqref="N4"/>
    </sheetView>
  </sheetViews>
  <sheetFormatPr defaultRowHeight="14.4" x14ac:dyDescent="0.3"/>
  <cols>
    <col min="1" max="1" width="8.88671875" style="13"/>
    <col min="2" max="2" width="27.5546875" style="13" bestFit="1" customWidth="1"/>
    <col min="3" max="16384" width="8.88671875" style="13"/>
  </cols>
  <sheetData>
    <row r="1" spans="1:19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9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9" ht="25.2" x14ac:dyDescent="0.55000000000000004">
      <c r="A3" s="14"/>
      <c r="B3" s="15" t="s">
        <v>106</v>
      </c>
      <c r="C3" s="16"/>
      <c r="D3" s="16"/>
      <c r="E3" s="16"/>
      <c r="F3" s="16"/>
      <c r="G3" s="16"/>
      <c r="H3" s="16"/>
      <c r="I3" s="16"/>
      <c r="J3" s="16"/>
      <c r="K3" s="16"/>
      <c r="L3"/>
      <c r="M3"/>
      <c r="N3"/>
      <c r="O3"/>
      <c r="P3"/>
      <c r="Q3"/>
      <c r="R3"/>
      <c r="S3"/>
    </row>
    <row r="4" spans="1:19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9" ht="17.399999999999999" x14ac:dyDescent="0.3">
      <c r="A5" s="17">
        <v>1</v>
      </c>
      <c r="B5" s="18" t="s">
        <v>93</v>
      </c>
      <c r="C5" s="18"/>
      <c r="D5" s="18"/>
      <c r="E5" s="18"/>
      <c r="F5" s="18"/>
      <c r="G5" s="18"/>
      <c r="H5" s="19"/>
      <c r="I5" s="19"/>
      <c r="J5" s="14"/>
      <c r="K5" s="14"/>
    </row>
    <row r="6" spans="1:19" ht="17.399999999999999" x14ac:dyDescent="0.3">
      <c r="A6" s="17">
        <v>2</v>
      </c>
      <c r="B6" s="18" t="s">
        <v>94</v>
      </c>
      <c r="C6" s="18"/>
      <c r="D6" s="18"/>
      <c r="E6" s="18"/>
      <c r="F6" s="18"/>
      <c r="G6" s="18"/>
      <c r="H6" s="19"/>
      <c r="I6" s="19"/>
      <c r="J6" s="14"/>
      <c r="K6" s="14"/>
    </row>
    <row r="7" spans="1:19" ht="17.399999999999999" x14ac:dyDescent="0.3">
      <c r="A7" s="17">
        <v>3</v>
      </c>
      <c r="B7" s="18" t="s">
        <v>95</v>
      </c>
      <c r="C7" s="18"/>
      <c r="D7" s="18"/>
      <c r="E7" s="18"/>
      <c r="F7" s="18"/>
      <c r="G7" s="18"/>
      <c r="H7" s="19"/>
      <c r="I7" s="19"/>
      <c r="J7" s="14"/>
      <c r="K7" s="14"/>
    </row>
    <row r="8" spans="1:19" ht="17.399999999999999" x14ac:dyDescent="0.3">
      <c r="A8" s="17">
        <v>4</v>
      </c>
      <c r="B8" s="18" t="s">
        <v>96</v>
      </c>
      <c r="C8" s="18"/>
      <c r="D8" s="18"/>
      <c r="E8" s="18"/>
      <c r="F8" s="18"/>
      <c r="G8" s="18"/>
      <c r="H8" s="19"/>
      <c r="I8" s="19"/>
      <c r="J8" s="14"/>
      <c r="K8" s="14"/>
    </row>
    <row r="9" spans="1:19" ht="17.399999999999999" x14ac:dyDescent="0.3">
      <c r="A9" s="17">
        <v>5</v>
      </c>
      <c r="B9" s="18" t="s">
        <v>92</v>
      </c>
      <c r="C9" s="18"/>
      <c r="D9" s="18"/>
      <c r="E9" s="18"/>
      <c r="F9" s="18"/>
      <c r="G9" s="18"/>
      <c r="H9" s="19"/>
      <c r="I9" s="19"/>
      <c r="J9" s="14"/>
      <c r="K9" s="14"/>
    </row>
    <row r="10" spans="1:19" ht="17.399999999999999" x14ac:dyDescent="0.3">
      <c r="A10" s="17">
        <v>6</v>
      </c>
      <c r="B10" s="18" t="s">
        <v>97</v>
      </c>
      <c r="C10" s="18"/>
      <c r="D10" s="18"/>
      <c r="E10" s="18"/>
      <c r="F10" s="18"/>
      <c r="G10" s="18"/>
      <c r="H10" s="19"/>
      <c r="I10" s="19"/>
      <c r="J10" s="14"/>
      <c r="K10" s="14"/>
    </row>
    <row r="11" spans="1:19" ht="17.399999999999999" x14ac:dyDescent="0.3">
      <c r="A11" s="17">
        <v>7</v>
      </c>
      <c r="B11" s="18" t="s">
        <v>98</v>
      </c>
      <c r="C11" s="18"/>
      <c r="D11" s="18"/>
      <c r="E11" s="18"/>
      <c r="F11" s="18"/>
      <c r="G11" s="18"/>
      <c r="H11" s="19"/>
      <c r="I11" s="19"/>
      <c r="J11" s="14"/>
      <c r="K11" s="14"/>
    </row>
    <row r="12" spans="1:19" ht="17.399999999999999" x14ac:dyDescent="0.3">
      <c r="A12" s="17">
        <v>8</v>
      </c>
      <c r="B12" s="18" t="s">
        <v>99</v>
      </c>
      <c r="C12" s="18"/>
      <c r="D12" s="18"/>
      <c r="E12" s="18"/>
      <c r="F12" s="18"/>
      <c r="G12" s="18"/>
      <c r="H12" s="19"/>
      <c r="I12" s="19"/>
      <c r="J12" s="14"/>
      <c r="K12" s="14"/>
    </row>
    <row r="13" spans="1:19" ht="17.399999999999999" x14ac:dyDescent="0.3">
      <c r="A13" s="17">
        <v>9</v>
      </c>
      <c r="B13" s="18" t="s">
        <v>100</v>
      </c>
      <c r="C13" s="18"/>
      <c r="D13" s="18"/>
      <c r="E13" s="18"/>
      <c r="F13" s="18"/>
      <c r="G13" s="18"/>
      <c r="H13" s="19"/>
      <c r="I13" s="19"/>
      <c r="J13" s="14"/>
      <c r="K13" s="14"/>
    </row>
    <row r="14" spans="1:19" ht="17.399999999999999" x14ac:dyDescent="0.3">
      <c r="A14" s="17">
        <v>10</v>
      </c>
      <c r="B14" s="18" t="s">
        <v>101</v>
      </c>
      <c r="C14" s="18"/>
      <c r="D14" s="18"/>
      <c r="E14" s="18"/>
      <c r="F14" s="18"/>
      <c r="G14" s="18"/>
      <c r="H14" s="19"/>
      <c r="I14" s="19"/>
      <c r="J14" s="14"/>
      <c r="K14" s="14"/>
    </row>
    <row r="15" spans="1:19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9" ht="25.2" x14ac:dyDescent="0.55000000000000004">
      <c r="A16" s="14"/>
      <c r="B16" s="20" t="s">
        <v>107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1" ht="17.399999999999999" x14ac:dyDescent="0.3">
      <c r="A17" s="18">
        <v>1</v>
      </c>
      <c r="B17" s="17" t="s">
        <v>102</v>
      </c>
      <c r="C17" s="18"/>
      <c r="D17" s="18"/>
      <c r="E17" s="18"/>
      <c r="F17" s="18"/>
      <c r="G17" s="18"/>
      <c r="H17" s="19"/>
      <c r="I17" s="19"/>
      <c r="J17" s="14"/>
      <c r="K17" s="14"/>
    </row>
    <row r="18" spans="1:11" ht="17.399999999999999" x14ac:dyDescent="0.3">
      <c r="A18" s="18">
        <v>2</v>
      </c>
      <c r="B18" s="18" t="s">
        <v>103</v>
      </c>
      <c r="C18" s="18"/>
      <c r="D18" s="18"/>
      <c r="E18" s="18"/>
      <c r="F18" s="18"/>
      <c r="G18" s="18"/>
      <c r="H18" s="19"/>
      <c r="I18" s="19"/>
      <c r="J18" s="14"/>
      <c r="K18" s="14"/>
    </row>
    <row r="19" spans="1:11" ht="17.399999999999999" x14ac:dyDescent="0.3">
      <c r="A19" s="18">
        <v>3</v>
      </c>
      <c r="B19" s="18" t="s">
        <v>104</v>
      </c>
      <c r="C19" s="18"/>
      <c r="D19" s="18"/>
      <c r="E19" s="18"/>
      <c r="F19" s="18"/>
      <c r="G19" s="18"/>
      <c r="H19" s="19"/>
      <c r="I19" s="19"/>
      <c r="J19" s="14"/>
      <c r="K19" s="14"/>
    </row>
    <row r="20" spans="1:11" ht="17.399999999999999" x14ac:dyDescent="0.3">
      <c r="A20" s="18">
        <v>4</v>
      </c>
      <c r="B20" s="18" t="s">
        <v>105</v>
      </c>
      <c r="C20" s="18"/>
      <c r="D20" s="18"/>
      <c r="E20" s="18"/>
      <c r="F20" s="18"/>
      <c r="G20" s="18"/>
      <c r="H20" s="19"/>
      <c r="I20" s="19"/>
      <c r="J20" s="14"/>
      <c r="K20" s="14"/>
    </row>
    <row r="21" spans="1:1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5FA5-31FA-4B21-B58A-64DEDC8A58E1}">
  <dimension ref="A1:B5"/>
  <sheetViews>
    <sheetView workbookViewId="0">
      <selection activeCell="P12" sqref="P12"/>
    </sheetView>
  </sheetViews>
  <sheetFormatPr defaultRowHeight="14.4" x14ac:dyDescent="0.3"/>
  <cols>
    <col min="1" max="1" width="13.109375" bestFit="1" customWidth="1"/>
    <col min="2" max="2" width="16.33203125" bestFit="1" customWidth="1"/>
  </cols>
  <sheetData>
    <row r="1" spans="1:2" x14ac:dyDescent="0.3">
      <c r="A1" s="2" t="s">
        <v>70</v>
      </c>
      <c r="B1" s="2"/>
    </row>
    <row r="2" spans="1:2" x14ac:dyDescent="0.3">
      <c r="A2" s="1" t="s">
        <v>4</v>
      </c>
      <c r="B2" s="1" t="s">
        <v>3</v>
      </c>
    </row>
    <row r="3" spans="1:2" x14ac:dyDescent="0.3">
      <c r="A3" t="s">
        <v>2</v>
      </c>
      <c r="B3">
        <v>839893.27899999998</v>
      </c>
    </row>
    <row r="4" spans="1:2" x14ac:dyDescent="0.3">
      <c r="A4" t="s">
        <v>1</v>
      </c>
      <c r="B4">
        <v>754747.76130000001</v>
      </c>
    </row>
    <row r="5" spans="1:2" x14ac:dyDescent="0.3">
      <c r="A5" t="s">
        <v>0</v>
      </c>
      <c r="B5">
        <v>731893.31400000001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7582-2CE1-4B58-AD90-172538684322}">
  <dimension ref="A1:C5"/>
  <sheetViews>
    <sheetView zoomScaleNormal="100" workbookViewId="0">
      <selection sqref="A1:C5"/>
    </sheetView>
  </sheetViews>
  <sheetFormatPr defaultRowHeight="14.4" x14ac:dyDescent="0.3"/>
  <cols>
    <col min="1" max="1" width="6.88671875" bestFit="1" customWidth="1"/>
    <col min="2" max="2" width="12" bestFit="1" customWidth="1"/>
    <col min="3" max="3" width="10.5546875" bestFit="1" customWidth="1"/>
  </cols>
  <sheetData>
    <row r="1" spans="1:3" x14ac:dyDescent="0.3">
      <c r="A1" s="1" t="s">
        <v>11</v>
      </c>
      <c r="B1" s="1" t="s">
        <v>10</v>
      </c>
      <c r="C1" s="1" t="s">
        <v>9</v>
      </c>
    </row>
    <row r="2" spans="1:3" x14ac:dyDescent="0.3">
      <c r="A2" t="s">
        <v>8</v>
      </c>
      <c r="B2">
        <v>739813.60849999997</v>
      </c>
      <c r="C2">
        <v>110798.82</v>
      </c>
    </row>
    <row r="3" spans="1:3" x14ac:dyDescent="0.3">
      <c r="A3" t="s">
        <v>7</v>
      </c>
      <c r="B3">
        <v>691828.16799999995</v>
      </c>
      <c r="C3">
        <v>94883.26</v>
      </c>
    </row>
    <row r="4" spans="1:3" x14ac:dyDescent="0.3">
      <c r="A4" t="s">
        <v>6</v>
      </c>
      <c r="B4">
        <v>503170.6728</v>
      </c>
      <c r="C4">
        <v>39865.31</v>
      </c>
    </row>
    <row r="5" spans="1:3" x14ac:dyDescent="0.3">
      <c r="A5" t="s">
        <v>5</v>
      </c>
      <c r="B5">
        <v>391721.90500000003</v>
      </c>
      <c r="C5">
        <v>46749.43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FCCA-699C-421D-96F5-FCA215269059}">
  <dimension ref="A1:C11"/>
  <sheetViews>
    <sheetView workbookViewId="0">
      <selection activeCell="Q17" sqref="Q17"/>
    </sheetView>
  </sheetViews>
  <sheetFormatPr defaultRowHeight="14.4" x14ac:dyDescent="0.3"/>
  <cols>
    <col min="1" max="1" width="13.5546875" bestFit="1" customWidth="1"/>
    <col min="2" max="2" width="14.6640625" bestFit="1" customWidth="1"/>
    <col min="3" max="3" width="13.5546875" bestFit="1" customWidth="1"/>
  </cols>
  <sheetData>
    <row r="1" spans="1:3" x14ac:dyDescent="0.3">
      <c r="A1" s="1" t="s">
        <v>82</v>
      </c>
      <c r="B1" s="1" t="s">
        <v>81</v>
      </c>
      <c r="C1" s="1" t="s">
        <v>15</v>
      </c>
    </row>
    <row r="2" spans="1:3" x14ac:dyDescent="0.3">
      <c r="A2" t="s">
        <v>80</v>
      </c>
      <c r="B2">
        <v>0.47</v>
      </c>
      <c r="C2">
        <v>-52.74</v>
      </c>
    </row>
    <row r="3" spans="1:3" x14ac:dyDescent="0.3">
      <c r="A3" t="s">
        <v>79</v>
      </c>
      <c r="B3">
        <v>0.4</v>
      </c>
      <c r="C3">
        <v>-74.14</v>
      </c>
    </row>
    <row r="4" spans="1:3" x14ac:dyDescent="0.3">
      <c r="A4" t="s">
        <v>78</v>
      </c>
      <c r="B4">
        <v>0.39</v>
      </c>
      <c r="C4">
        <v>-12607.89</v>
      </c>
    </row>
    <row r="5" spans="1:3" x14ac:dyDescent="0.3">
      <c r="A5" t="s">
        <v>77</v>
      </c>
      <c r="B5">
        <v>0.37</v>
      </c>
      <c r="C5">
        <v>-25729.360000000001</v>
      </c>
    </row>
    <row r="6" spans="1:3" x14ac:dyDescent="0.3">
      <c r="A6" t="s">
        <v>76</v>
      </c>
      <c r="B6">
        <v>0.37</v>
      </c>
      <c r="C6">
        <v>158.94</v>
      </c>
    </row>
    <row r="7" spans="1:3" x14ac:dyDescent="0.3">
      <c r="A7" t="s">
        <v>75</v>
      </c>
      <c r="B7">
        <v>0.33</v>
      </c>
      <c r="C7">
        <v>-15559.96</v>
      </c>
    </row>
    <row r="8" spans="1:3" x14ac:dyDescent="0.3">
      <c r="A8" t="s">
        <v>74</v>
      </c>
      <c r="B8">
        <v>0.32</v>
      </c>
      <c r="C8">
        <v>-16971.38</v>
      </c>
    </row>
    <row r="9" spans="1:3" x14ac:dyDescent="0.3">
      <c r="A9" t="s">
        <v>73</v>
      </c>
      <c r="B9">
        <v>0.32</v>
      </c>
      <c r="C9">
        <v>-6527.86</v>
      </c>
    </row>
    <row r="10" spans="1:3" x14ac:dyDescent="0.3">
      <c r="A10" t="s">
        <v>72</v>
      </c>
      <c r="B10">
        <v>0.3</v>
      </c>
      <c r="C10">
        <v>-3399.3</v>
      </c>
    </row>
    <row r="11" spans="1:3" x14ac:dyDescent="0.3">
      <c r="A11" t="s">
        <v>71</v>
      </c>
      <c r="B11">
        <v>0.3</v>
      </c>
      <c r="C11">
        <v>-3427.92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3A12-12FA-45BC-A563-3FFA16D6DC6F}">
  <dimension ref="A1:D4"/>
  <sheetViews>
    <sheetView workbookViewId="0"/>
  </sheetViews>
  <sheetFormatPr defaultRowHeight="14.4" x14ac:dyDescent="0.3"/>
  <sheetData>
    <row r="1" spans="1:4" x14ac:dyDescent="0.3">
      <c r="A1" s="1" t="s">
        <v>18</v>
      </c>
      <c r="B1" s="1" t="s">
        <v>17</v>
      </c>
      <c r="C1" s="1" t="s">
        <v>16</v>
      </c>
      <c r="D1" s="1" t="s">
        <v>15</v>
      </c>
    </row>
    <row r="2" spans="1:4" x14ac:dyDescent="0.3">
      <c r="A2" t="s">
        <v>14</v>
      </c>
      <c r="B2">
        <v>2628</v>
      </c>
      <c r="C2">
        <v>1170660</v>
      </c>
      <c r="D2">
        <v>136371</v>
      </c>
    </row>
    <row r="3" spans="1:4" x14ac:dyDescent="0.3">
      <c r="A3" t="s">
        <v>13</v>
      </c>
      <c r="B3">
        <v>1552</v>
      </c>
      <c r="C3">
        <v>715806</v>
      </c>
      <c r="D3">
        <v>94250</v>
      </c>
    </row>
    <row r="4" spans="1:4" x14ac:dyDescent="0.3">
      <c r="A4" t="s">
        <v>12</v>
      </c>
      <c r="B4">
        <v>931</v>
      </c>
      <c r="C4">
        <v>440068</v>
      </c>
      <c r="D4">
        <v>61676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8B47-3982-4B54-B789-F263DD7061B9}">
  <dimension ref="A1:C18"/>
  <sheetViews>
    <sheetView workbookViewId="0">
      <selection activeCell="R15" sqref="R15"/>
    </sheetView>
  </sheetViews>
  <sheetFormatPr defaultRowHeight="14.4" x14ac:dyDescent="0.3"/>
  <cols>
    <col min="1" max="1" width="12.33203125" bestFit="1" customWidth="1"/>
    <col min="2" max="2" width="12.5546875" bestFit="1" customWidth="1"/>
    <col min="3" max="3" width="13.5546875" bestFit="1" customWidth="1"/>
  </cols>
  <sheetData>
    <row r="1" spans="1:3" x14ac:dyDescent="0.3">
      <c r="A1" s="1" t="s">
        <v>36</v>
      </c>
      <c r="B1" s="1" t="s">
        <v>16</v>
      </c>
      <c r="C1" s="1" t="s">
        <v>15</v>
      </c>
    </row>
    <row r="2" spans="1:3" x14ac:dyDescent="0.3">
      <c r="A2" t="s">
        <v>35</v>
      </c>
      <c r="B2">
        <v>208020</v>
      </c>
      <c r="C2">
        <v>-17753</v>
      </c>
    </row>
    <row r="3" spans="1:3" x14ac:dyDescent="0.3">
      <c r="A3" t="s">
        <v>34</v>
      </c>
      <c r="B3">
        <v>115361</v>
      </c>
      <c r="C3">
        <v>-3632</v>
      </c>
    </row>
    <row r="4" spans="1:3" x14ac:dyDescent="0.3">
      <c r="A4" t="s">
        <v>33</v>
      </c>
      <c r="B4">
        <v>46725</v>
      </c>
      <c r="C4">
        <v>-1171</v>
      </c>
    </row>
    <row r="5" spans="1:3" x14ac:dyDescent="0.3">
      <c r="A5" t="s">
        <v>32</v>
      </c>
      <c r="B5">
        <v>8532</v>
      </c>
      <c r="C5">
        <v>2429</v>
      </c>
    </row>
    <row r="6" spans="1:3" x14ac:dyDescent="0.3">
      <c r="A6" t="s">
        <v>31</v>
      </c>
      <c r="B6">
        <v>189925</v>
      </c>
      <c r="C6">
        <v>3462</v>
      </c>
    </row>
    <row r="7" spans="1:3" x14ac:dyDescent="0.3">
      <c r="A7" t="s">
        <v>30</v>
      </c>
      <c r="B7">
        <v>12695</v>
      </c>
      <c r="C7">
        <v>5573</v>
      </c>
    </row>
    <row r="8" spans="1:3" x14ac:dyDescent="0.3">
      <c r="A8" t="s">
        <v>29</v>
      </c>
      <c r="B8">
        <v>27659</v>
      </c>
      <c r="C8">
        <v>6653</v>
      </c>
    </row>
    <row r="9" spans="1:3" x14ac:dyDescent="0.3">
      <c r="A9" t="s">
        <v>28</v>
      </c>
      <c r="B9">
        <v>16528</v>
      </c>
      <c r="C9">
        <v>6988</v>
      </c>
    </row>
    <row r="10" spans="1:3" x14ac:dyDescent="0.3">
      <c r="A10" t="s">
        <v>27</v>
      </c>
      <c r="B10">
        <v>95598</v>
      </c>
      <c r="C10">
        <v>13892</v>
      </c>
    </row>
    <row r="11" spans="1:3" x14ac:dyDescent="0.3">
      <c r="A11" t="s">
        <v>26</v>
      </c>
      <c r="B11">
        <v>108213</v>
      </c>
      <c r="C11">
        <v>18329</v>
      </c>
    </row>
    <row r="12" spans="1:3" x14ac:dyDescent="0.3">
      <c r="A12" t="s">
        <v>25</v>
      </c>
      <c r="B12">
        <v>224645</v>
      </c>
      <c r="C12">
        <v>21285</v>
      </c>
    </row>
    <row r="13" spans="1:3" x14ac:dyDescent="0.3">
      <c r="A13" t="s">
        <v>24</v>
      </c>
      <c r="B13">
        <v>335768</v>
      </c>
      <c r="C13">
        <v>27224</v>
      </c>
    </row>
    <row r="14" spans="1:3" x14ac:dyDescent="0.3">
      <c r="A14" t="s">
        <v>23</v>
      </c>
      <c r="B14">
        <v>207355</v>
      </c>
      <c r="C14">
        <v>31426</v>
      </c>
    </row>
    <row r="15" spans="1:3" x14ac:dyDescent="0.3">
      <c r="A15" t="s">
        <v>22</v>
      </c>
      <c r="B15">
        <v>79541</v>
      </c>
      <c r="C15">
        <v>34512</v>
      </c>
    </row>
    <row r="16" spans="1:3" x14ac:dyDescent="0.3">
      <c r="A16" t="s">
        <v>21</v>
      </c>
      <c r="B16">
        <v>167380</v>
      </c>
      <c r="C16">
        <v>41937</v>
      </c>
    </row>
    <row r="17" spans="1:3" x14ac:dyDescent="0.3">
      <c r="A17" t="s">
        <v>20</v>
      </c>
      <c r="B17">
        <v>331843</v>
      </c>
      <c r="C17">
        <v>45051</v>
      </c>
    </row>
    <row r="18" spans="1:3" x14ac:dyDescent="0.3">
      <c r="A18" t="s">
        <v>19</v>
      </c>
      <c r="B18">
        <v>150745</v>
      </c>
      <c r="C18">
        <v>56094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A556-4D57-4EDC-A37F-19C02B45BE94}">
  <dimension ref="A1:C5"/>
  <sheetViews>
    <sheetView workbookViewId="0">
      <selection activeCell="H24" sqref="H24"/>
    </sheetView>
  </sheetViews>
  <sheetFormatPr defaultRowHeight="14.4" x14ac:dyDescent="0.3"/>
  <sheetData>
    <row r="1" spans="1:3" x14ac:dyDescent="0.3">
      <c r="A1" s="1" t="s">
        <v>42</v>
      </c>
      <c r="B1" s="1" t="s">
        <v>41</v>
      </c>
      <c r="C1" s="1" t="s">
        <v>10</v>
      </c>
    </row>
    <row r="2" spans="1:3" x14ac:dyDescent="0.3">
      <c r="A2" t="s">
        <v>40</v>
      </c>
      <c r="B2">
        <v>6120</v>
      </c>
      <c r="C2">
        <v>1378840.551</v>
      </c>
    </row>
    <row r="3" spans="1:3" x14ac:dyDescent="0.3">
      <c r="A3" t="s">
        <v>39</v>
      </c>
      <c r="B3">
        <v>1979</v>
      </c>
      <c r="C3">
        <v>466671.11139999999</v>
      </c>
    </row>
    <row r="4" spans="1:3" x14ac:dyDescent="0.3">
      <c r="A4" t="s">
        <v>38</v>
      </c>
      <c r="B4">
        <v>1548</v>
      </c>
      <c r="C4">
        <v>351750.73690000002</v>
      </c>
    </row>
    <row r="5" spans="1:3" x14ac:dyDescent="0.3">
      <c r="A5" t="s">
        <v>37</v>
      </c>
      <c r="B5">
        <v>547</v>
      </c>
      <c r="C5">
        <v>129271.955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44DE-7720-4BE0-9DF7-2AF15A152256}">
  <dimension ref="A1:G14"/>
  <sheetViews>
    <sheetView workbookViewId="0"/>
  </sheetViews>
  <sheetFormatPr defaultRowHeight="14.4" x14ac:dyDescent="0.3"/>
  <sheetData>
    <row r="1" spans="1:7" x14ac:dyDescent="0.3">
      <c r="A1" s="1" t="s">
        <v>58</v>
      </c>
      <c r="B1" s="1" t="s">
        <v>57</v>
      </c>
      <c r="C1" s="1" t="s">
        <v>4</v>
      </c>
      <c r="D1" s="1" t="s">
        <v>11</v>
      </c>
      <c r="E1" s="1" t="s">
        <v>56</v>
      </c>
      <c r="F1" s="1" t="s">
        <v>55</v>
      </c>
      <c r="G1" s="1" t="s">
        <v>54</v>
      </c>
    </row>
    <row r="2" spans="1:7" x14ac:dyDescent="0.3">
      <c r="A2" t="s">
        <v>53</v>
      </c>
      <c r="B2" t="s">
        <v>52</v>
      </c>
      <c r="C2" t="s">
        <v>0</v>
      </c>
      <c r="D2" t="s">
        <v>6</v>
      </c>
      <c r="E2">
        <v>16.45</v>
      </c>
      <c r="F2">
        <v>5.55</v>
      </c>
      <c r="G2" t="s">
        <v>43</v>
      </c>
    </row>
    <row r="3" spans="1:7" x14ac:dyDescent="0.3">
      <c r="A3" t="s">
        <v>51</v>
      </c>
      <c r="B3" t="s">
        <v>50</v>
      </c>
      <c r="C3" t="s">
        <v>0</v>
      </c>
      <c r="D3" t="s">
        <v>6</v>
      </c>
      <c r="E3">
        <v>3.54</v>
      </c>
      <c r="F3">
        <v>-5.49</v>
      </c>
      <c r="G3" t="s">
        <v>43</v>
      </c>
    </row>
    <row r="4" spans="1:7" x14ac:dyDescent="0.3">
      <c r="A4" t="s">
        <v>51</v>
      </c>
      <c r="B4" t="s">
        <v>50</v>
      </c>
      <c r="C4" t="s">
        <v>0</v>
      </c>
      <c r="D4" t="s">
        <v>6</v>
      </c>
      <c r="E4">
        <v>11.78</v>
      </c>
      <c r="F4">
        <v>4.2699999999999996</v>
      </c>
      <c r="G4" t="s">
        <v>43</v>
      </c>
    </row>
    <row r="5" spans="1:7" x14ac:dyDescent="0.3">
      <c r="A5" t="s">
        <v>51</v>
      </c>
      <c r="B5" t="s">
        <v>50</v>
      </c>
      <c r="C5" t="s">
        <v>0</v>
      </c>
      <c r="D5" t="s">
        <v>6</v>
      </c>
      <c r="E5">
        <v>272.74</v>
      </c>
      <c r="F5">
        <v>-64.77</v>
      </c>
      <c r="G5" t="s">
        <v>43</v>
      </c>
    </row>
    <row r="6" spans="1:7" x14ac:dyDescent="0.3">
      <c r="A6" t="s">
        <v>49</v>
      </c>
      <c r="B6" t="s">
        <v>48</v>
      </c>
      <c r="C6" t="s">
        <v>0</v>
      </c>
      <c r="D6" t="s">
        <v>7</v>
      </c>
      <c r="E6">
        <v>19.54</v>
      </c>
      <c r="F6">
        <v>4.88</v>
      </c>
      <c r="G6" t="s">
        <v>43</v>
      </c>
    </row>
    <row r="7" spans="1:7" x14ac:dyDescent="0.3">
      <c r="A7" t="s">
        <v>45</v>
      </c>
      <c r="B7" t="s">
        <v>44</v>
      </c>
      <c r="C7" t="s">
        <v>1</v>
      </c>
      <c r="D7" t="s">
        <v>5</v>
      </c>
      <c r="E7">
        <v>2573.8200000000002</v>
      </c>
      <c r="F7">
        <v>746.41</v>
      </c>
      <c r="G7" t="s">
        <v>43</v>
      </c>
    </row>
    <row r="8" spans="1:7" x14ac:dyDescent="0.3">
      <c r="A8" t="s">
        <v>45</v>
      </c>
      <c r="B8" t="s">
        <v>44</v>
      </c>
      <c r="C8" t="s">
        <v>0</v>
      </c>
      <c r="D8" t="s">
        <v>5</v>
      </c>
      <c r="E8">
        <v>5.48</v>
      </c>
      <c r="F8">
        <v>1.48</v>
      </c>
      <c r="G8" t="s">
        <v>43</v>
      </c>
    </row>
    <row r="9" spans="1:7" x14ac:dyDescent="0.3">
      <c r="A9" t="s">
        <v>47</v>
      </c>
      <c r="B9" t="s">
        <v>46</v>
      </c>
      <c r="C9" t="s">
        <v>0</v>
      </c>
      <c r="D9" t="s">
        <v>5</v>
      </c>
      <c r="E9">
        <v>12.78</v>
      </c>
      <c r="F9">
        <v>5.24</v>
      </c>
      <c r="G9" t="s">
        <v>43</v>
      </c>
    </row>
    <row r="10" spans="1:7" x14ac:dyDescent="0.3">
      <c r="A10" t="s">
        <v>45</v>
      </c>
      <c r="B10" t="s">
        <v>44</v>
      </c>
      <c r="C10" t="s">
        <v>0</v>
      </c>
      <c r="D10" t="s">
        <v>5</v>
      </c>
      <c r="E10">
        <v>609.98</v>
      </c>
      <c r="F10">
        <v>274.49</v>
      </c>
      <c r="G10" t="s">
        <v>43</v>
      </c>
    </row>
    <row r="11" spans="1:7" x14ac:dyDescent="0.3">
      <c r="A11" t="s">
        <v>45</v>
      </c>
      <c r="B11" t="s">
        <v>44</v>
      </c>
      <c r="C11" t="s">
        <v>0</v>
      </c>
      <c r="D11" t="s">
        <v>5</v>
      </c>
      <c r="E11">
        <v>31.12</v>
      </c>
      <c r="F11">
        <v>0.31</v>
      </c>
      <c r="G11" t="s">
        <v>43</v>
      </c>
    </row>
    <row r="12" spans="1:7" x14ac:dyDescent="0.3">
      <c r="A12" t="s">
        <v>45</v>
      </c>
      <c r="B12" t="s">
        <v>44</v>
      </c>
      <c r="C12" t="s">
        <v>0</v>
      </c>
      <c r="D12" t="s">
        <v>5</v>
      </c>
      <c r="E12">
        <v>6.54</v>
      </c>
      <c r="F12">
        <v>3.01</v>
      </c>
      <c r="G12" t="s">
        <v>43</v>
      </c>
    </row>
    <row r="13" spans="1:7" x14ac:dyDescent="0.3">
      <c r="A13" t="s">
        <v>45</v>
      </c>
      <c r="B13" t="s">
        <v>44</v>
      </c>
      <c r="C13" t="s">
        <v>2</v>
      </c>
      <c r="D13" t="s">
        <v>5</v>
      </c>
      <c r="E13">
        <v>755.96</v>
      </c>
      <c r="F13">
        <v>204.11</v>
      </c>
      <c r="G13" t="s">
        <v>43</v>
      </c>
    </row>
    <row r="14" spans="1:7" x14ac:dyDescent="0.3">
      <c r="A14" t="s">
        <v>45</v>
      </c>
      <c r="B14" t="s">
        <v>44</v>
      </c>
      <c r="C14" t="s">
        <v>2</v>
      </c>
      <c r="D14" t="s">
        <v>5</v>
      </c>
      <c r="E14">
        <v>391.98</v>
      </c>
      <c r="F14">
        <v>113.67</v>
      </c>
      <c r="G14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43DD-97D8-47EE-9D10-9A9E9F76F777}">
  <dimension ref="A1:C5"/>
  <sheetViews>
    <sheetView workbookViewId="0"/>
  </sheetViews>
  <sheetFormatPr defaultRowHeight="14.4" x14ac:dyDescent="0.3"/>
  <sheetData>
    <row r="1" spans="1:3" x14ac:dyDescent="0.3">
      <c r="A1" s="1" t="s">
        <v>42</v>
      </c>
      <c r="B1" s="1" t="s">
        <v>41</v>
      </c>
      <c r="C1" s="1" t="s">
        <v>10</v>
      </c>
    </row>
    <row r="2" spans="1:3" x14ac:dyDescent="0.3">
      <c r="A2" t="s">
        <v>40</v>
      </c>
      <c r="B2">
        <v>6120</v>
      </c>
      <c r="C2">
        <v>1378840.551</v>
      </c>
    </row>
    <row r="3" spans="1:3" x14ac:dyDescent="0.3">
      <c r="A3" t="s">
        <v>39</v>
      </c>
      <c r="B3">
        <v>1979</v>
      </c>
      <c r="C3">
        <v>466671.11139999999</v>
      </c>
    </row>
    <row r="4" spans="1:3" x14ac:dyDescent="0.3">
      <c r="A4" t="s">
        <v>38</v>
      </c>
      <c r="B4">
        <v>1548</v>
      </c>
      <c r="C4">
        <v>351750.73690000002</v>
      </c>
    </row>
    <row r="5" spans="1:3" x14ac:dyDescent="0.3">
      <c r="A5" t="s">
        <v>37</v>
      </c>
      <c r="B5">
        <v>547</v>
      </c>
      <c r="C5">
        <v>129271.955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41E0-8727-4CB3-BDC2-7D3AFCF02F66}">
  <dimension ref="A1:D11"/>
  <sheetViews>
    <sheetView workbookViewId="0">
      <selection activeCell="L16" sqref="L16"/>
    </sheetView>
  </sheetViews>
  <sheetFormatPr defaultRowHeight="14.4" x14ac:dyDescent="0.3"/>
  <sheetData>
    <row r="1" spans="1:4" x14ac:dyDescent="0.3">
      <c r="A1" s="1" t="s">
        <v>57</v>
      </c>
      <c r="B1" s="1" t="s">
        <v>69</v>
      </c>
      <c r="C1" s="1" t="s">
        <v>16</v>
      </c>
      <c r="D1" s="1" t="s">
        <v>15</v>
      </c>
    </row>
    <row r="2" spans="1:4" x14ac:dyDescent="0.3">
      <c r="A2" t="s">
        <v>68</v>
      </c>
      <c r="B2">
        <v>5</v>
      </c>
      <c r="C2">
        <v>25043.05</v>
      </c>
      <c r="D2">
        <v>-1980.74</v>
      </c>
    </row>
    <row r="3" spans="1:4" x14ac:dyDescent="0.3">
      <c r="A3" t="s">
        <v>67</v>
      </c>
      <c r="B3">
        <v>5</v>
      </c>
      <c r="C3">
        <v>19052.22</v>
      </c>
      <c r="D3">
        <v>8981.32</v>
      </c>
    </row>
    <row r="4" spans="1:4" x14ac:dyDescent="0.3">
      <c r="A4" t="s">
        <v>66</v>
      </c>
      <c r="B4">
        <v>6</v>
      </c>
      <c r="C4">
        <v>15117.34</v>
      </c>
      <c r="D4">
        <v>6976.1</v>
      </c>
    </row>
    <row r="5" spans="1:4" x14ac:dyDescent="0.3">
      <c r="A5" t="s">
        <v>65</v>
      </c>
      <c r="B5">
        <v>4</v>
      </c>
      <c r="C5">
        <v>14595.62</v>
      </c>
      <c r="D5">
        <v>4703.79</v>
      </c>
    </row>
    <row r="6" spans="1:4" x14ac:dyDescent="0.3">
      <c r="A6" t="s">
        <v>64</v>
      </c>
      <c r="B6">
        <v>10</v>
      </c>
      <c r="C6">
        <v>14473.57</v>
      </c>
      <c r="D6">
        <v>5444.81</v>
      </c>
    </row>
    <row r="7" spans="1:4" x14ac:dyDescent="0.3">
      <c r="A7" t="s">
        <v>63</v>
      </c>
      <c r="B7">
        <v>12</v>
      </c>
      <c r="C7">
        <v>14175.23</v>
      </c>
      <c r="D7">
        <v>806.85</v>
      </c>
    </row>
    <row r="8" spans="1:4" x14ac:dyDescent="0.3">
      <c r="A8" t="s">
        <v>62</v>
      </c>
      <c r="B8">
        <v>9</v>
      </c>
      <c r="C8">
        <v>14142.33</v>
      </c>
      <c r="D8">
        <v>5757.41</v>
      </c>
    </row>
    <row r="9" spans="1:4" x14ac:dyDescent="0.3">
      <c r="A9" t="s">
        <v>61</v>
      </c>
      <c r="B9">
        <v>6</v>
      </c>
      <c r="C9">
        <v>12873.3</v>
      </c>
      <c r="D9">
        <v>5622.43</v>
      </c>
    </row>
    <row r="10" spans="1:4" x14ac:dyDescent="0.3">
      <c r="A10" t="s">
        <v>60</v>
      </c>
      <c r="B10">
        <v>11</v>
      </c>
      <c r="C10">
        <v>12209.44</v>
      </c>
      <c r="D10">
        <v>2650.68</v>
      </c>
    </row>
    <row r="11" spans="1:4" x14ac:dyDescent="0.3">
      <c r="A11" t="s">
        <v>59</v>
      </c>
      <c r="B11">
        <v>5</v>
      </c>
      <c r="C11">
        <v>12129.07</v>
      </c>
      <c r="D11">
        <v>2177.0500000000002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INSIGHTS &amp; RECCOMENDATION</vt:lpstr>
      <vt:lpstr>SalesbyCategory</vt:lpstr>
      <vt:lpstr>Regional sales</vt:lpstr>
      <vt:lpstr>high discount states</vt:lpstr>
      <vt:lpstr>segment-wise sales</vt:lpstr>
      <vt:lpstr>category-wise sales&amp;profit</vt:lpstr>
      <vt:lpstr>shipping mode</vt:lpstr>
      <vt:lpstr>Page 1 (7)</vt:lpstr>
      <vt:lpstr>Page 1 (8)</vt:lpstr>
      <vt:lpstr>Value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SHRIVASTAVA</dc:creator>
  <cp:lastModifiedBy>SAURABH SHRIVASTAVA</cp:lastModifiedBy>
  <dcterms:created xsi:type="dcterms:W3CDTF">2026-06-19T14:13:52Z</dcterms:created>
  <dcterms:modified xsi:type="dcterms:W3CDTF">2026-06-21T07:51:05Z</dcterms:modified>
</cp:coreProperties>
</file>